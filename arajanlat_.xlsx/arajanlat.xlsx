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arajanlat" sheetId="1" state="visible" r:id="rId1"/>
    <sheet xmlns:r="http://schemas.openxmlformats.org/officeDocument/2006/relationships" name="szabasjegyze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\ [$Ft-40E]_-;\-* #,##0\ [$Ft-40E]_-;_-* &quot;-&quot;??\ [$Ft-40E]_-;_-@_-"/>
    <numFmt numFmtId="165" formatCode="#,##0 &quot;Ft&quot;"/>
  </numFmts>
  <fonts count="26"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theme="1"/>
      <sz val="11"/>
      <scheme val="minor"/>
    </font>
    <font>
      <name val="Aptos Display"/>
      <charset val="238"/>
      <family val="2"/>
      <color theme="3"/>
      <sz val="18"/>
      <scheme val="major"/>
    </font>
    <font>
      <name val="Aptos Narrow"/>
      <charset val="238"/>
      <family val="2"/>
      <b val="1"/>
      <color theme="3"/>
      <sz val="15"/>
      <scheme val="minor"/>
    </font>
    <font>
      <name val="Aptos Narrow"/>
      <charset val="238"/>
      <family val="2"/>
      <b val="1"/>
      <color theme="3"/>
      <sz val="13"/>
      <scheme val="minor"/>
    </font>
    <font>
      <name val="Aptos Narrow"/>
      <charset val="238"/>
      <family val="2"/>
      <b val="1"/>
      <color theme="3"/>
      <sz val="11"/>
      <scheme val="minor"/>
    </font>
    <font>
      <name val="Aptos Narrow"/>
      <charset val="238"/>
      <family val="2"/>
      <color rgb="FF006100"/>
      <sz val="11"/>
      <scheme val="minor"/>
    </font>
    <font>
      <name val="Aptos Narrow"/>
      <charset val="238"/>
      <family val="2"/>
      <color rgb="FF9C0006"/>
      <sz val="11"/>
      <scheme val="minor"/>
    </font>
    <font>
      <name val="Aptos Narrow"/>
      <charset val="238"/>
      <family val="2"/>
      <color rgb="FF9C5700"/>
      <sz val="11"/>
      <scheme val="minor"/>
    </font>
    <font>
      <name val="Aptos Narrow"/>
      <charset val="238"/>
      <family val="2"/>
      <color rgb="FF3F3F76"/>
      <sz val="11"/>
      <scheme val="minor"/>
    </font>
    <font>
      <name val="Aptos Narrow"/>
      <charset val="238"/>
      <family val="2"/>
      <b val="1"/>
      <color rgb="FF3F3F3F"/>
      <sz val="11"/>
      <scheme val="minor"/>
    </font>
    <font>
      <name val="Aptos Narrow"/>
      <charset val="238"/>
      <family val="2"/>
      <b val="1"/>
      <color rgb="FFFA7D00"/>
      <sz val="11"/>
      <scheme val="minor"/>
    </font>
    <font>
      <name val="Aptos Narrow"/>
      <charset val="238"/>
      <family val="2"/>
      <color rgb="FFFA7D00"/>
      <sz val="11"/>
      <scheme val="minor"/>
    </font>
    <font>
      <name val="Aptos Narrow"/>
      <charset val="238"/>
      <family val="2"/>
      <b val="1"/>
      <color theme="0"/>
      <sz val="11"/>
      <scheme val="minor"/>
    </font>
    <font>
      <name val="Aptos Narrow"/>
      <charset val="238"/>
      <family val="2"/>
      <color rgb="FFFF0000"/>
      <sz val="11"/>
      <scheme val="minor"/>
    </font>
    <font>
      <name val="Aptos Narrow"/>
      <charset val="238"/>
      <family val="2"/>
      <i val="1"/>
      <color rgb="FF7F7F7F"/>
      <sz val="11"/>
      <scheme val="minor"/>
    </font>
    <font>
      <name val="Aptos Narrow"/>
      <charset val="238"/>
      <family val="2"/>
      <b val="1"/>
      <color theme="1"/>
      <sz val="11"/>
      <scheme val="minor"/>
    </font>
    <font>
      <name val="Aptos Narrow"/>
      <charset val="238"/>
      <family val="2"/>
      <color theme="0"/>
      <sz val="11"/>
      <scheme val="minor"/>
    </font>
    <font>
      <name val="Aptos Narrow"/>
      <charset val="238"/>
      <family val="2"/>
      <sz val="8"/>
      <scheme val="minor"/>
    </font>
    <font>
      <name val="Aptos Narrow"/>
      <charset val="238"/>
      <family val="2"/>
      <b val="1"/>
      <color theme="1"/>
      <sz val="22"/>
      <scheme val="minor"/>
    </font>
    <font>
      <name val="Aptos Narrow"/>
      <charset val="238"/>
      <family val="2"/>
      <b val="1"/>
      <color theme="1"/>
      <sz val="14"/>
      <scheme val="minor"/>
    </font>
    <font>
      <name val="Calibri"/>
      <charset val="238"/>
      <family val="2"/>
      <b val="1"/>
      <sz val="11"/>
    </font>
    <font>
      <name val="Aptos Narrow"/>
      <family val="2"/>
      <b val="1"/>
      <color theme="1"/>
      <sz val="14"/>
      <scheme val="minor"/>
    </font>
    <font>
      <name val="Aptos Narrow"/>
      <charset val="238"/>
      <family val="2"/>
      <color theme="10"/>
      <sz val="11"/>
      <u val="single"/>
      <scheme val="minor"/>
    </font>
    <font>
      <name val="Aptos Narrow"/>
      <family val="2"/>
      <b val="1"/>
      <color theme="1"/>
      <sz val="16"/>
      <scheme val="minor"/>
    </font>
    <font>
      <name val="Calibri"/>
      <family val="2"/>
      <color theme="10"/>
      <sz val="12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0" fontId="23" fillId="0" borderId="0"/>
    <xf numFmtId="0" fontId="25" fillId="0" borderId="0"/>
  </cellStyleXfs>
  <cellXfs count="31">
    <xf numFmtId="0" fontId="0" fillId="0" borderId="0" pivotButton="0" quotePrefix="0" xfId="0"/>
    <xf numFmtId="0" fontId="21" fillId="0" borderId="1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23" fillId="0" borderId="0" applyAlignment="1" pivotButton="0" quotePrefix="0" xfId="42">
      <alignment vertical="center"/>
    </xf>
    <xf numFmtId="0" fontId="21" fillId="0" borderId="0" applyAlignment="1" pivotButton="0" quotePrefix="0" xfId="0">
      <alignment vertical="center"/>
    </xf>
    <xf numFmtId="164" fontId="2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14" fontId="0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164" fontId="2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19" fillId="0" borderId="10" applyAlignment="1" pivotButton="0" quotePrefix="0" xfId="0">
      <alignment horizontal="center" vertical="center"/>
    </xf>
    <xf numFmtId="0" fontId="21" fillId="0" borderId="1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1" fillId="0" borderId="1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23" fillId="0" borderId="0" applyAlignment="1" pivotButton="0" quotePrefix="0" xfId="42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top" wrapText="1"/>
    </xf>
    <xf numFmtId="0" fontId="0" fillId="0" borderId="10" pivotButton="0" quotePrefix="0" xfId="0"/>
    <xf numFmtId="0" fontId="25" fillId="0" borderId="0" pivotButton="0" quotePrefix="0" xfId="43"/>
    <xf numFmtId="165" fontId="0" fillId="0" borderId="0" applyAlignment="1" pivotButton="0" quotePrefix="0" xfId="0">
      <alignment vertical="center"/>
    </xf>
  </cellXfs>
  <cellStyles count="44">
    <cellStyle name="Normál" xfId="0" builtinId="0"/>
    <cellStyle name="Cím" xfId="1" builtinId="15"/>
    <cellStyle name="Címsor 1" xfId="2" builtinId="16"/>
    <cellStyle name="Címsor 2" xfId="3" builtinId="17"/>
    <cellStyle name="Címsor 3" xfId="4" builtinId="18"/>
    <cellStyle name="Címsor 4" xfId="5" builtinId="19"/>
    <cellStyle name="Jó" xfId="6" builtinId="26"/>
    <cellStyle name="Rossz" xfId="7" builtinId="27"/>
    <cellStyle name="Semleges" xfId="8" builtinId="28"/>
    <cellStyle name="Bevitel" xfId="9" builtinId="20"/>
    <cellStyle name="Kimenet" xfId="10" builtinId="21"/>
    <cellStyle name="Számítás" xfId="11" builtinId="22"/>
    <cellStyle name="Hivatkozott cella" xfId="12" builtinId="24"/>
    <cellStyle name="Ellenőrzőcella" xfId="13" builtinId="23"/>
    <cellStyle name="Figyelmeztetés" xfId="14" builtinId="11"/>
    <cellStyle name="Jegyzet" xfId="15" builtinId="10"/>
    <cellStyle name="Magyarázó szöveg" xfId="16" builtinId="53"/>
    <cellStyle name="Összesen" xfId="17" builtinId="25"/>
    <cellStyle name="Jelölőszín 1" xfId="18" builtinId="29"/>
    <cellStyle name="20% - 1. jelölőszín" xfId="19" builtinId="30"/>
    <cellStyle name="40% - 1. jelölőszín" xfId="20" builtinId="31"/>
    <cellStyle name="60% - 1. jelölőszín" xfId="21" builtinId="32"/>
    <cellStyle name="Jelölőszín 2" xfId="22" builtinId="33"/>
    <cellStyle name="20% - 2. jelölőszín" xfId="23" builtinId="34"/>
    <cellStyle name="40% - 2. jelölőszín" xfId="24" builtinId="35"/>
    <cellStyle name="60% - 2. jelölőszín" xfId="25" builtinId="36"/>
    <cellStyle name="Jelölőszín 3" xfId="26" builtinId="37"/>
    <cellStyle name="20% - 3. jelölőszín" xfId="27" builtinId="38"/>
    <cellStyle name="40% - 3. jelölőszín" xfId="28" builtinId="39"/>
    <cellStyle name="60% - 3. jelölőszín" xfId="29" builtinId="40"/>
    <cellStyle name="Jelölőszín 4" xfId="30" builtinId="41"/>
    <cellStyle name="20% - 4. jelölőszín" xfId="31" builtinId="42"/>
    <cellStyle name="40% - 4. jelölőszín" xfId="32" builtinId="43"/>
    <cellStyle name="60% - 4. jelölőszín" xfId="33" builtinId="44"/>
    <cellStyle name="Jelölőszín 5" xfId="34" builtinId="45"/>
    <cellStyle name="20% - 5. jelölőszín" xfId="35" builtinId="46"/>
    <cellStyle name="40% - 5. jelölőszín" xfId="36" builtinId="47"/>
    <cellStyle name="60% - 5. jelölőszín" xfId="37" builtinId="48"/>
    <cellStyle name="Jelölőszín 6" xfId="38" builtinId="49"/>
    <cellStyle name="20% - 6. jelölőszín" xfId="39" builtinId="50"/>
    <cellStyle name="40% - 6. jelölőszín" xfId="40" builtinId="51"/>
    <cellStyle name="60% - 6. jelölőszín" xfId="41" builtinId="52"/>
    <cellStyle name="Hivatkozás" xfId="42" builtinId="8"/>
    <cellStyle name="Hyperlink" xfId="43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123826</rowOff>
    </from>
    <to>
      <col>3</col>
      <colOff>962025</colOff>
      <row>4</row>
      <rowOff>261163</rowOff>
    </to>
    <pic>
      <nvPicPr>
        <cNvPr id="3" name="Kép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t="8001"/>
        <a:stretch xmlns:a="http://schemas.openxmlformats.org/drawingml/2006/main">
          <a:fillRect/>
        </a:stretch>
      </blipFill>
      <spPr>
        <a:xfrm xmlns:a="http://schemas.openxmlformats.org/drawingml/2006/main">
          <a:off x="0" y="123826"/>
          <a:ext cx="2638425" cy="121366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balintbence800@gmail.com" TargetMode="External" Id="rId1"/><Relationship Type="http://schemas.openxmlformats.org/officeDocument/2006/relationships/hyperlink" Target="https://butorkellek.eu/rejtett-polctarto-11x100-allithato-5085?keyword=Rejtett%20polctart%C3%B3%2011x100" TargetMode="External" Id="rId2"/><Relationship Type="http://schemas.openxmlformats.org/officeDocument/2006/relationships/drawing" Target="/xl/drawings/drawing1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33"/>
  <sheetViews>
    <sheetView tabSelected="1" workbookViewId="0">
      <selection activeCell="D18" sqref="D18"/>
    </sheetView>
  </sheetViews>
  <sheetFormatPr baseColWidth="8" defaultRowHeight="15"/>
  <cols>
    <col width="3.28515625" customWidth="1" style="2" min="1" max="1"/>
    <col width="6.42578125" customWidth="1" style="2" min="2" max="2"/>
    <col width="15.42578125" customWidth="1" style="2" min="3" max="3"/>
    <col width="22.42578125" customWidth="1" style="2" min="4" max="4"/>
    <col width="4.140625" customWidth="1" style="2" min="5" max="5"/>
    <col width="10.42578125" customWidth="1" style="2" min="6" max="6"/>
    <col width="3.85546875" customWidth="1" style="2" min="7" max="7"/>
    <col width="9.85546875" customWidth="1" style="2" min="8" max="9"/>
    <col width="9.140625" customWidth="1" style="2" min="10" max="16384"/>
  </cols>
  <sheetData>
    <row r="2" ht="28.5" customHeight="1">
      <c r="A2" s="18" t="n"/>
      <c r="E2" s="20" t="inlineStr">
        <is>
          <t>Árajánlat</t>
        </is>
      </c>
    </row>
    <row r="3" ht="17.25" customHeight="1">
      <c r="E3" s="20" t="n"/>
      <c r="F3" s="20" t="n"/>
      <c r="G3" s="20" t="n"/>
      <c r="H3" s="20" t="n"/>
      <c r="I3" s="20" t="n"/>
    </row>
    <row r="4" ht="24" customHeight="1">
      <c r="E4" s="19" t="inlineStr">
        <is>
          <t>Tárgy:</t>
        </is>
      </c>
      <c r="G4" s="18" t="n"/>
    </row>
    <row r="5" ht="24" customHeight="1">
      <c r="A5" s="18" t="n"/>
      <c r="B5" s="18" t="n"/>
      <c r="C5" s="18" t="n"/>
      <c r="D5" s="18" t="n"/>
      <c r="E5" s="19" t="inlineStr">
        <is>
          <t>Azonosító:</t>
        </is>
      </c>
      <c r="G5" s="18" t="n"/>
    </row>
    <row r="6" ht="14.25" customHeight="1" thickBot="1">
      <c r="A6" s="16" t="n"/>
      <c r="B6" s="16" t="n"/>
      <c r="C6" s="15" t="n"/>
      <c r="D6" s="15" t="n"/>
      <c r="E6" s="15" t="n"/>
      <c r="F6" s="15" t="n"/>
      <c r="G6" s="15" t="n"/>
      <c r="H6" s="15" t="n"/>
      <c r="I6" s="15" t="n"/>
    </row>
    <row r="7" ht="14.25" customHeight="1">
      <c r="A7" s="20" t="n"/>
      <c r="B7" s="20" t="n"/>
      <c r="C7" s="18" t="n"/>
      <c r="D7" s="18" t="n"/>
      <c r="E7" s="18" t="n"/>
      <c r="F7" s="18" t="n"/>
      <c r="G7" s="18" t="n"/>
      <c r="H7" s="18" t="n"/>
      <c r="I7" s="18" t="n"/>
    </row>
    <row r="8" ht="18.75" customHeight="1">
      <c r="A8" s="22" t="inlineStr">
        <is>
          <t>Árajánlat adó:</t>
        </is>
      </c>
      <c r="F8" s="22" t="inlineStr">
        <is>
          <t>Megrendelő:</t>
        </is>
      </c>
    </row>
    <row r="9">
      <c r="A9" s="23" t="inlineStr">
        <is>
          <t xml:space="preserve">Név: </t>
        </is>
      </c>
      <c r="C9" s="2" t="inlineStr">
        <is>
          <t>Bálint Bence ev.</t>
        </is>
      </c>
      <c r="F9" s="2" t="inlineStr">
        <is>
          <t xml:space="preserve">Név: </t>
        </is>
      </c>
      <c r="G9" s="23" t="n"/>
    </row>
    <row r="10">
      <c r="A10" s="23" t="inlineStr">
        <is>
          <t>Tel:</t>
        </is>
      </c>
      <c r="C10" s="23" t="n">
        <v>307698397</v>
      </c>
      <c r="F10" s="2" t="inlineStr">
        <is>
          <t>Tel:</t>
        </is>
      </c>
      <c r="G10" s="26" t="n"/>
    </row>
    <row r="11" ht="15" customHeight="1">
      <c r="A11" s="23" t="inlineStr">
        <is>
          <t>Email:</t>
        </is>
      </c>
      <c r="C11" s="5" t="inlineStr">
        <is>
          <t>balintbence800@gmail.com</t>
        </is>
      </c>
      <c r="F11" s="2" t="inlineStr">
        <is>
          <t>Email:</t>
        </is>
      </c>
      <c r="G11" s="25" t="n"/>
    </row>
    <row r="12">
      <c r="A12" s="23" t="inlineStr">
        <is>
          <t>Lak. cím:</t>
        </is>
      </c>
      <c r="C12" s="2" t="inlineStr">
        <is>
          <t>Szeged, Selmeci utca 17.</t>
        </is>
      </c>
      <c r="F12" s="2" t="inlineStr">
        <is>
          <t>Lak. cím:</t>
        </is>
      </c>
      <c r="G12" s="27" t="n"/>
    </row>
    <row r="13">
      <c r="A13" s="23" t="inlineStr">
        <is>
          <t>Adószám:</t>
        </is>
      </c>
      <c r="C13" s="2" t="inlineStr">
        <is>
          <t>91339968-1-26</t>
        </is>
      </c>
    </row>
    <row r="14">
      <c r="A14" s="23" t="n"/>
      <c r="B14" s="23" t="n"/>
    </row>
    <row r="15" ht="18.75" customHeight="1">
      <c r="A15" s="24" t="inlineStr">
        <is>
          <t>Alapanyag:</t>
        </is>
      </c>
    </row>
    <row r="16" ht="15.75" customFormat="1" customHeight="1" s="23" thickBot="1">
      <c r="A16" s="21" t="inlineStr">
        <is>
          <t>Sz.</t>
        </is>
      </c>
      <c r="B16" s="21" t="inlineStr">
        <is>
          <t>Megnevezés</t>
        </is>
      </c>
      <c r="C16" s="28" t="n"/>
      <c r="D16" s="21" t="inlineStr">
        <is>
          <t>Típus, Szín</t>
        </is>
      </c>
      <c r="E16" s="21" t="inlineStr">
        <is>
          <t>URL</t>
        </is>
      </c>
      <c r="F16" s="17" t="inlineStr">
        <is>
          <t>Menny.</t>
        </is>
      </c>
      <c r="G16" s="21" t="n"/>
      <c r="H16" s="17" t="inlineStr">
        <is>
          <t>Egys.ár (Ft)</t>
        </is>
      </c>
      <c r="I16" s="17" t="inlineStr">
        <is>
          <t>Össz. (Ft)</t>
        </is>
      </c>
    </row>
    <row r="17" ht="16" customHeight="1">
      <c r="A17" s="2" t="inlineStr">
        <is>
          <t>1.</t>
        </is>
      </c>
      <c r="B17" s="2" t="inlineStr">
        <is>
          <t>Függesztő</t>
        </is>
      </c>
      <c r="D17" s="2" t="inlineStr">
        <is>
          <t>Rejtett polctartó 11x100</t>
        </is>
      </c>
      <c r="E17" s="29" t="inlineStr">
        <is>
          <t>Link</t>
        </is>
      </c>
      <c r="F17" s="2" t="n">
        <v>10</v>
      </c>
      <c r="G17" s="2" t="inlineStr">
        <is>
          <t>db</t>
        </is>
      </c>
      <c r="H17" s="30" t="n">
        <v>354</v>
      </c>
      <c r="I17" s="30" t="n">
        <v>3540</v>
      </c>
    </row>
    <row r="18" ht="16" customHeight="1">
      <c r="A18" s="2" t="inlineStr">
        <is>
          <t>2.</t>
        </is>
      </c>
      <c r="B18" s="2" t="inlineStr">
        <is>
          <t>Tölgy</t>
        </is>
      </c>
      <c r="D18" s="2" t="inlineStr">
        <is>
          <t>tolgy</t>
        </is>
      </c>
      <c r="F18" s="2" t="n">
        <v>0.06</v>
      </c>
      <c r="G18" s="2" t="inlineStr">
        <is>
          <t>m³</t>
        </is>
      </c>
      <c r="H18" s="30" t="n">
        <v>0</v>
      </c>
      <c r="I18" s="30" t="n">
        <v>0</v>
      </c>
    </row>
    <row r="19" ht="18.75" customHeight="1">
      <c r="H19" s="6" t="inlineStr">
        <is>
          <t>Összesen:</t>
        </is>
      </c>
      <c r="I19" s="7">
        <f>SUM(#REF!)</f>
        <v/>
      </c>
    </row>
    <row r="20" ht="15.75" customHeight="1" thickBot="1">
      <c r="H20" s="6" t="n"/>
      <c r="I20" s="7" t="n"/>
    </row>
    <row r="21">
      <c r="A21" s="10" t="inlineStr">
        <is>
          <t>Munkadíj, gépkopás, rezsi:</t>
        </is>
      </c>
      <c r="B21" s="10" t="n"/>
      <c r="C21" s="10" t="n"/>
    </row>
    <row r="22">
      <c r="A22" s="21" t="inlineStr">
        <is>
          <t>Sz.</t>
        </is>
      </c>
      <c r="B22" s="21" t="inlineStr">
        <is>
          <t>Megnevezés</t>
        </is>
      </c>
      <c r="C22" s="28" t="n"/>
      <c r="D22" s="21" t="inlineStr">
        <is>
          <t>Leírás</t>
        </is>
      </c>
      <c r="E22" s="21" t="n"/>
      <c r="F22" s="17" t="inlineStr">
        <is>
          <t>Menny.</t>
        </is>
      </c>
      <c r="G22" s="21" t="n"/>
      <c r="H22" s="17" t="inlineStr">
        <is>
          <t>Egys.ár (Ft)</t>
        </is>
      </c>
      <c r="I22" s="17" t="inlineStr">
        <is>
          <t>Össz. (Ft)</t>
        </is>
      </c>
    </row>
    <row r="23" ht="21" customHeight="1">
      <c r="H23" s="6" t="inlineStr">
        <is>
          <t>Összesen:</t>
        </is>
      </c>
      <c r="I23" s="7">
        <f>SUM(#REF!)</f>
        <v/>
      </c>
    </row>
    <row r="24">
      <c r="H24" s="6" t="n"/>
      <c r="I24" s="7" t="n"/>
    </row>
    <row r="25" ht="15" customHeight="1">
      <c r="F25" s="11" t="inlineStr">
        <is>
          <t>Összesen:</t>
        </is>
      </c>
      <c r="G25" s="11" t="n"/>
      <c r="H25" s="12">
        <f>I17+I21</f>
        <v/>
      </c>
      <c r="I25" s="10" t="n"/>
    </row>
    <row r="26">
      <c r="H26" s="6" t="n"/>
      <c r="I26" s="7" t="n"/>
    </row>
    <row r="27">
      <c r="A27" s="4" t="inlineStr">
        <is>
          <t>Az árak az ÁFA-t tartalmazzák.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26" t="n"/>
      <c r="B29" s="26" t="n"/>
      <c r="C29" s="26" t="n"/>
      <c r="D29" s="26" t="n"/>
      <c r="E29" s="26" t="n"/>
      <c r="F29" s="26" t="n"/>
      <c r="G29" s="26" t="n"/>
      <c r="H29" s="26" t="n"/>
      <c r="I29" s="26" t="n"/>
    </row>
    <row r="30">
      <c r="A30" s="2" t="inlineStr">
        <is>
          <t>Ajánlat 14 napig érvényes. 14 nap leteltével újra tárgyalás szükséges</t>
        </is>
      </c>
    </row>
    <row r="31"/>
    <row r="32">
      <c r="A32" s="2" t="inlineStr">
        <is>
          <t>Dátum:</t>
        </is>
      </c>
      <c r="C32" s="9">
        <f>TODAY()</f>
        <v/>
      </c>
    </row>
    <row r="33">
      <c r="A33" s="2" t="inlineStr">
        <is>
          <t>Bálint Bence</t>
        </is>
      </c>
    </row>
  </sheetData>
  <mergeCells count="22">
    <mergeCell ref="B16:C16"/>
    <mergeCell ref="G10:I10"/>
    <mergeCell ref="A11:B11"/>
    <mergeCell ref="A2:D4"/>
    <mergeCell ref="F8:H8"/>
    <mergeCell ref="E5:F5"/>
    <mergeCell ref="B18:C18"/>
    <mergeCell ref="G12:I13"/>
    <mergeCell ref="E4:F4"/>
    <mergeCell ref="G5:I5"/>
    <mergeCell ref="A8:C8"/>
    <mergeCell ref="G4:I4"/>
    <mergeCell ref="B17:C17"/>
    <mergeCell ref="A12:B12"/>
    <mergeCell ref="E2:I2"/>
    <mergeCell ref="G9:I9"/>
    <mergeCell ref="A15:C15"/>
    <mergeCell ref="G11:I11"/>
    <mergeCell ref="B20:C20"/>
    <mergeCell ref="A10:B10"/>
    <mergeCell ref="A13:B13"/>
    <mergeCell ref="A9:B9"/>
  </mergeCells>
  <hyperlinks>
    <hyperlink xmlns:r="http://schemas.openxmlformats.org/officeDocument/2006/relationships" ref="C11" r:id="rId1"/>
    <hyperlink xmlns:r="http://schemas.openxmlformats.org/officeDocument/2006/relationships" ref="E17" r:id="rId2"/>
  </hyperlinks>
  <pageMargins left="0.7" right="0.7" top="0.75" bottom="0.75" header="0.3" footer="0.3"/>
  <pageSetup orientation="portrait" paperSize="9"/>
  <drawing xmlns:r="http://schemas.openxmlformats.org/officeDocument/2006/relationships" r:id="rId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Sz.</t>
        </is>
      </c>
      <c r="B1" t="inlineStr">
        <is>
          <t>Nev</t>
        </is>
      </c>
      <c r="C1" t="inlineStr">
        <is>
          <t>DB</t>
        </is>
      </c>
      <c r="D1" t="inlineStr">
        <is>
          <t>Hosz</t>
        </is>
      </c>
      <c r="E1" t="inlineStr">
        <is>
          <t>Szel</t>
        </is>
      </c>
      <c r="F1" t="inlineStr">
        <is>
          <t>Vas</t>
        </is>
      </c>
      <c r="G1" t="inlineStr">
        <is>
          <t>Szin</t>
        </is>
      </c>
      <c r="H1" t="inlineStr">
        <is>
          <t>Elzaras</t>
        </is>
      </c>
      <c r="I1" t="inlineStr">
        <is>
          <t>Anyag</t>
        </is>
      </c>
    </row>
    <row r="2">
      <c r="A2" t="n">
        <v>1</v>
      </c>
      <c r="B2" t="inlineStr">
        <is>
          <t>Rejtett polctartó 11x100</t>
        </is>
      </c>
      <c r="C2" t="n">
        <v>10</v>
      </c>
      <c r="D2" t="n">
        <v>99</v>
      </c>
      <c r="E2" t="n">
        <v>80</v>
      </c>
      <c r="F2" t="n">
        <v>20</v>
      </c>
      <c r="G2" t="inlineStr">
        <is>
          <t>Rejtett polctartó 11x100</t>
        </is>
      </c>
      <c r="H2" t="n">
        <v/>
      </c>
      <c r="I2" t="inlineStr">
        <is>
          <t>fuggeszto</t>
        </is>
      </c>
    </row>
    <row r="3">
      <c r="A3" t="n">
        <v>1</v>
      </c>
      <c r="B3" t="inlineStr">
        <is>
          <t>Polc</t>
        </is>
      </c>
      <c r="C3" t="n">
        <v>2</v>
      </c>
      <c r="D3" t="n">
        <v>1600</v>
      </c>
      <c r="E3" t="n">
        <v>242</v>
      </c>
      <c r="F3" t="n">
        <v>40</v>
      </c>
      <c r="G3" t="inlineStr">
        <is>
          <t>tolgy</t>
        </is>
      </c>
      <c r="H3" t="n">
        <v/>
      </c>
      <c r="I3" t="inlineStr">
        <is>
          <t>tolgy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Bálint Bence</dc:creator>
  <dcterms:created xmlns:dcterms="http://purl.org/dc/terms/" xmlns:xsi="http://www.w3.org/2001/XMLSchema-instance" xsi:type="dcterms:W3CDTF">2025-04-27T15:15:40Z</dcterms:created>
  <dcterms:modified xmlns:dcterms="http://purl.org/dc/terms/" xmlns:xsi="http://www.w3.org/2001/XMLSchema-instance" xsi:type="dcterms:W3CDTF">2026-01-14T18:28:24Z</dcterms:modified>
  <cp:lastModifiedBy>Bence Bálint</cp:lastModifiedBy>
  <cp:lastPrinted>2025-04-29T12:25:06Z</cp:lastPrinted>
</cp:coreProperties>
</file>